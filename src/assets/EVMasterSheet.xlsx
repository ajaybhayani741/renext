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400" firstSheet="5"/>
  </bookViews>
  <sheets>
    <sheet name="EV Master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<sst xmlns="http://schemas.openxmlformats.org/spreadsheetml/2006/main" count="135" uniqueCount="104">
  <si>
    <t>S. No.</t>
  </si>
  <si>
    <t>Date of Receipt of Vehicle</t>
  </si>
  <si>
    <t>MSTI Vehicle No.</t>
  </si>
  <si>
    <t>Type</t>
  </si>
  <si>
    <t>Source</t>
  </si>
  <si>
    <t>Producer Name</t>
  </si>
  <si>
    <t>Customer Name</t>
  </si>
  <si>
    <t xml:space="preserve">Vehicle No </t>
  </si>
  <si>
    <t>Manufacturing Date</t>
  </si>
  <si>
    <t>Registration Date</t>
  </si>
  <si>
    <t>ELV Model</t>
  </si>
  <si>
    <t>Category</t>
  </si>
  <si>
    <t>Fuel Type</t>
  </si>
  <si>
    <t>RTO</t>
  </si>
  <si>
    <t>Weight As per Registration Certificate (In KG)</t>
  </si>
  <si>
    <t>Weight as per MSTI Weighment (In KG)</t>
  </si>
  <si>
    <t>Chassis No</t>
  </si>
  <si>
    <t>Date of Receipt of Chassis Cut out</t>
  </si>
  <si>
    <t>Engine No.</t>
  </si>
  <si>
    <t>Date of Receipt of Engine No. Cut out</t>
  </si>
  <si>
    <t>Date of Receipt of Compliance Plate</t>
  </si>
  <si>
    <t>Application/ Inward No.</t>
  </si>
  <si>
    <t>Application/ Inward Date</t>
  </si>
  <si>
    <t>Certificate of Deposit No.</t>
  </si>
  <si>
    <t>Certificate of Deposit Date</t>
  </si>
  <si>
    <t>Destruction Certificate /. Certificate of Vehicle Scrapping (CVS) No.</t>
  </si>
  <si>
    <t>Date of Destruction Certificate/ CVS</t>
  </si>
  <si>
    <t>Base Buying Price</t>
  </si>
  <si>
    <t>Purchase Price (A)</t>
  </si>
  <si>
    <t>Dealer Commission (B)</t>
  </si>
  <si>
    <t>Freight (C)</t>
  </si>
  <si>
    <t>Total Purchase Value (D=A+B+C)</t>
  </si>
  <si>
    <t>Special Incentive to Dealer (E)</t>
  </si>
  <si>
    <t>Quoted Price (F)</t>
  </si>
  <si>
    <r>
      <rPr>
        <b/>
        <sz val="14"/>
        <color theme="1"/>
        <rFont val="Aptos"/>
        <charset val="134"/>
      </rPr>
      <t xml:space="preserve">Challan Amount </t>
    </r>
    <r>
      <rPr>
        <b/>
        <u val="double"/>
        <sz val="14"/>
        <color theme="1"/>
        <rFont val="Aptos"/>
        <charset val="134"/>
      </rPr>
      <t>deducted</t>
    </r>
    <r>
      <rPr>
        <b/>
        <sz val="14"/>
        <color theme="1"/>
        <rFont val="Aptos"/>
        <charset val="134"/>
      </rPr>
      <t xml:space="preserve"> from </t>
    </r>
    <r>
      <rPr>
        <b/>
        <u val="double"/>
        <sz val="14"/>
        <color theme="1"/>
        <rFont val="Aptos"/>
        <charset val="134"/>
      </rPr>
      <t>Customer Quoted Price</t>
    </r>
    <r>
      <rPr>
        <b/>
        <sz val="14"/>
        <color theme="1"/>
        <rFont val="Aptos"/>
        <charset val="134"/>
      </rPr>
      <t xml:space="preserve"> against total challan amount (G)</t>
    </r>
  </si>
  <si>
    <r>
      <rPr>
        <b/>
        <sz val="14"/>
        <color theme="1"/>
        <rFont val="Aptos"/>
        <charset val="134"/>
      </rPr>
      <t xml:space="preserve">Challan Amount </t>
    </r>
    <r>
      <rPr>
        <b/>
        <u val="double"/>
        <sz val="14"/>
        <color theme="1"/>
        <rFont val="Aptos"/>
        <charset val="134"/>
      </rPr>
      <t>deducted</t>
    </r>
    <r>
      <rPr>
        <b/>
        <sz val="14"/>
        <color theme="1"/>
        <rFont val="Aptos"/>
        <charset val="134"/>
      </rPr>
      <t xml:space="preserve"> from </t>
    </r>
    <r>
      <rPr>
        <b/>
        <u val="double"/>
        <sz val="14"/>
        <color theme="1"/>
        <rFont val="Aptos"/>
        <charset val="134"/>
      </rPr>
      <t>Dealer Commission Price</t>
    </r>
    <r>
      <rPr>
        <b/>
        <sz val="14"/>
        <color theme="1"/>
        <rFont val="Aptos"/>
        <charset val="134"/>
      </rPr>
      <t xml:space="preserve"> against total challan amount (H)</t>
    </r>
  </si>
  <si>
    <t>Total Challan Value/ Challan Deduction (I=G+H)</t>
  </si>
  <si>
    <r>
      <rPr>
        <b/>
        <u val="double"/>
        <sz val="14"/>
        <color theme="1"/>
        <rFont val="Aptos"/>
        <charset val="134"/>
      </rPr>
      <t>Other Deduction</t>
    </r>
    <r>
      <rPr>
        <b/>
        <sz val="14"/>
        <color theme="1"/>
        <rFont val="Aptos"/>
        <charset val="134"/>
      </rPr>
      <t xml:space="preserve"> From </t>
    </r>
    <r>
      <rPr>
        <b/>
        <u val="double"/>
        <sz val="14"/>
        <color theme="1"/>
        <rFont val="Aptos"/>
        <charset val="134"/>
      </rPr>
      <t>Customer Quoted Price</t>
    </r>
    <r>
      <rPr>
        <b/>
        <sz val="14"/>
        <color theme="1"/>
        <rFont val="Aptos"/>
        <charset val="134"/>
      </rPr>
      <t xml:space="preserve"> (J)</t>
    </r>
  </si>
  <si>
    <r>
      <rPr>
        <b/>
        <u val="double"/>
        <sz val="14"/>
        <color theme="1"/>
        <rFont val="Aptos"/>
        <charset val="134"/>
      </rPr>
      <t>Other Deduction</t>
    </r>
    <r>
      <rPr>
        <b/>
        <sz val="14"/>
        <color theme="1"/>
        <rFont val="Aptos"/>
        <charset val="134"/>
      </rPr>
      <t xml:space="preserve"> From </t>
    </r>
    <r>
      <rPr>
        <b/>
        <u val="double"/>
        <sz val="14"/>
        <color theme="1"/>
        <rFont val="Aptos"/>
        <charset val="134"/>
      </rPr>
      <t>Dealer commission</t>
    </r>
    <r>
      <rPr>
        <b/>
        <sz val="14"/>
        <color theme="1"/>
        <rFont val="Aptos"/>
        <charset val="134"/>
      </rPr>
      <t xml:space="preserve"> (K)</t>
    </r>
  </si>
  <si>
    <r>
      <rPr>
        <b/>
        <sz val="14"/>
        <color theme="1"/>
        <rFont val="Aptos"/>
        <charset val="134"/>
      </rPr>
      <t xml:space="preserve">Net </t>
    </r>
    <r>
      <rPr>
        <b/>
        <u val="doubleAccounting"/>
        <sz val="14"/>
        <color theme="1"/>
        <rFont val="Aptos"/>
        <charset val="134"/>
      </rPr>
      <t>amount</t>
    </r>
    <r>
      <rPr>
        <b/>
        <sz val="14"/>
        <color theme="1"/>
        <rFont val="Aptos"/>
        <charset val="134"/>
      </rPr>
      <t xml:space="preserve"> need to be </t>
    </r>
    <r>
      <rPr>
        <b/>
        <u val="doubleAccounting"/>
        <sz val="14"/>
        <color theme="1"/>
        <rFont val="Aptos"/>
        <charset val="134"/>
      </rPr>
      <t>paid to the Customer</t>
    </r>
    <r>
      <rPr>
        <b/>
        <sz val="14"/>
        <color theme="1"/>
        <rFont val="Aptos"/>
        <charset val="134"/>
      </rPr>
      <t xml:space="preserve"> (L=F-G-J)</t>
    </r>
  </si>
  <si>
    <r>
      <rPr>
        <b/>
        <u val="double"/>
        <sz val="14"/>
        <color theme="1"/>
        <rFont val="Aptos"/>
        <charset val="134"/>
      </rPr>
      <t>Net Amount</t>
    </r>
    <r>
      <rPr>
        <b/>
        <sz val="14"/>
        <color theme="1"/>
        <rFont val="Aptos"/>
        <charset val="134"/>
      </rPr>
      <t xml:space="preserve"> need to be </t>
    </r>
    <r>
      <rPr>
        <b/>
        <u val="double"/>
        <sz val="14"/>
        <color theme="1"/>
        <rFont val="Aptos"/>
        <charset val="134"/>
      </rPr>
      <t>paid</t>
    </r>
    <r>
      <rPr>
        <b/>
        <sz val="14"/>
        <color theme="1"/>
        <rFont val="Aptos"/>
        <charset val="134"/>
      </rPr>
      <t xml:space="preserve"> to</t>
    </r>
    <r>
      <rPr>
        <b/>
        <u val="double"/>
        <sz val="14"/>
        <color theme="1"/>
        <rFont val="Aptos"/>
        <charset val="134"/>
      </rPr>
      <t xml:space="preserve"> Dealer</t>
    </r>
    <r>
      <rPr>
        <b/>
        <sz val="14"/>
        <color theme="1"/>
        <rFont val="Aptos"/>
        <charset val="134"/>
      </rPr>
      <t xml:space="preserve"> Including Special Incentive (M=B+E-H-K)</t>
    </r>
  </si>
  <si>
    <t>Purchased From</t>
  </si>
  <si>
    <t>Payment Voucher No.</t>
  </si>
  <si>
    <t>Payment Date</t>
  </si>
  <si>
    <t>Payment Bank</t>
  </si>
  <si>
    <t>Payment Amount</t>
  </si>
  <si>
    <t>Picked by</t>
  </si>
  <si>
    <t>Remarks</t>
  </si>
  <si>
    <t>Speed Post No.</t>
  </si>
  <si>
    <t>Post Date.</t>
  </si>
  <si>
    <t>Consumer</t>
  </si>
  <si>
    <t>Dealer</t>
  </si>
  <si>
    <t xml:space="preserve">Maruti Suzuki India Limited </t>
  </si>
  <si>
    <t>Mahit Raj</t>
  </si>
  <si>
    <t>DL 02 EV 5678</t>
  </si>
  <si>
    <t>Swift</t>
  </si>
  <si>
    <t>Category I: ELV With Inner and Outer Body Parts</t>
  </si>
  <si>
    <t>Petrol</t>
  </si>
  <si>
    <t>Delhi</t>
  </si>
  <si>
    <t>MALPC816VRM061851</t>
  </si>
  <si>
    <t>G4FGXYZ12345</t>
  </si>
  <si>
    <t>CD-1001</t>
  </si>
  <si>
    <t>CV-2001</t>
  </si>
  <si>
    <t>ICICI Bank</t>
  </si>
  <si>
    <t>Shardul Surma</t>
  </si>
  <si>
    <t>DL 10EV 10000</t>
  </si>
  <si>
    <t>WagonR</t>
  </si>
  <si>
    <t>Category II: ELV With Outer Body parts and without inner body parts</t>
  </si>
  <si>
    <t>MALFB81BLRM649249</t>
  </si>
  <si>
    <t>D4HEABC67890</t>
  </si>
  <si>
    <t>CD-1002</t>
  </si>
  <si>
    <t>CV-2002</t>
  </si>
  <si>
    <t>Collection Center</t>
  </si>
  <si>
    <t>Ashish Busi</t>
  </si>
  <si>
    <t>DL 2SR 5824</t>
  </si>
  <si>
    <t>Maruti 800</t>
  </si>
  <si>
    <t>Category III: ELV With Inner Body parts and without outer body parts</t>
  </si>
  <si>
    <t>MALB381CYRM131614</t>
  </si>
  <si>
    <t>U2DCQWE54321</t>
  </si>
  <si>
    <t>CD-1003</t>
  </si>
  <si>
    <t>CV-2003</t>
  </si>
  <si>
    <t>1,00,000</t>
  </si>
  <si>
    <t>OEM</t>
  </si>
  <si>
    <t>Hyundai India Pvt. Ltd.</t>
  </si>
  <si>
    <t>Santro</t>
  </si>
  <si>
    <t>Category IV: ELV Without Inner and outer Body parts</t>
  </si>
  <si>
    <t>EV</t>
  </si>
  <si>
    <t>MALPA812LRM098450</t>
  </si>
  <si>
    <t>K3NFRTX98765</t>
  </si>
  <si>
    <t>CD-1004</t>
  </si>
  <si>
    <t>CV-2004</t>
  </si>
  <si>
    <t>Direct Recovery</t>
  </si>
  <si>
    <t>Creta</t>
  </si>
  <si>
    <t>Category V: Two Wheeler</t>
  </si>
  <si>
    <t>MALPC816VRM750335</t>
  </si>
  <si>
    <t>M5LGPQR24680</t>
  </si>
  <si>
    <t>CD-1005</t>
  </si>
  <si>
    <t>CV-2005</t>
  </si>
  <si>
    <t>Venue</t>
  </si>
  <si>
    <t>Category VI: Test vehicles Maruti</t>
  </si>
  <si>
    <t>MALCA81BLRM123456</t>
  </si>
  <si>
    <t>J6MHSTU13579</t>
  </si>
  <si>
    <t>CD-1006</t>
  </si>
  <si>
    <t>CV-2006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</si>
</sst>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dd/mm/yy;@"/>
    <numFmt numFmtId="179" formatCode="_ * #,##0_ ;_ * \-#,##0_ ;_ * &quot;-&quot;??_ ;_ @_ "/>
    <numFmt numFmtId="180" formatCode="&quot;₹&quot;\ #,##0.00"/>
    <numFmt numFmtId="181" formatCode="_ [$₹-439]* #,##0.00_ ;_ [$₹-439]* \-#,##0.00_ ;_ [$₹-439]* &quot;-&quot;??_ ;_ @_ "/>
  </numFmts>
  <fonts count="25">
    <font>
      <sz val="11"/>
      <color theme="1"/>
      <name val="Calibri"/>
      <charset val="134"/>
      <scheme val="minor"/>
    </font>
    <font>
      <b/>
      <sz val="14"/>
      <color theme="1"/>
      <name val="Aptos"/>
      <charset val="134"/>
    </font>
    <font>
      <b/>
      <sz val="16"/>
      <color theme="1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 val="double"/>
      <sz val="14"/>
      <color theme="1"/>
      <name val="Aptos"/>
      <charset val="134"/>
    </font>
    <font>
      <b/>
      <u val="doubleAccounting"/>
      <sz val="14"/>
      <color theme="1"/>
      <name val="Aptos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 applyProtection="1">
      <alignment vertical="center"/>
      <protection locked="0"/>
    </xf>
    <xf numFmtId="178" fontId="2" fillId="2" borderId="1" xfId="0" applyNumberFormat="1" applyFont="1" applyFill="1" applyBorder="1" applyAlignment="1" applyProtection="1">
      <alignment vertical="center" wrapText="1"/>
      <protection locked="0"/>
    </xf>
    <xf numFmtId="0" fontId="1" fillId="2" borderId="1" xfId="0" applyFont="1" applyFill="1" applyBorder="1" applyAlignment="1" applyProtection="1">
      <alignment vertical="center" wrapText="1"/>
      <protection locked="0"/>
    </xf>
    <xf numFmtId="58" fontId="0" fillId="0" borderId="0" xfId="0" applyNumberFormat="1" applyAlignment="1">
      <alignment wrapText="1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58" fontId="1" fillId="2" borderId="1" xfId="0" applyNumberFormat="1" applyFont="1" applyFill="1" applyBorder="1" applyAlignment="1" applyProtection="1">
      <alignment vertical="center" wrapText="1"/>
      <protection locked="0"/>
    </xf>
    <xf numFmtId="58" fontId="0" fillId="0" borderId="0" xfId="0" applyNumberFormat="1"/>
    <xf numFmtId="0" fontId="0" fillId="0" borderId="1" xfId="0" applyBorder="1"/>
    <xf numFmtId="179" fontId="1" fillId="2" borderId="1" xfId="1" applyNumberFormat="1" applyFont="1" applyFill="1" applyBorder="1" applyAlignment="1" applyProtection="1">
      <alignment vertical="center" wrapText="1"/>
      <protection locked="0"/>
    </xf>
    <xf numFmtId="1" fontId="1" fillId="2" borderId="1" xfId="0" applyNumberFormat="1" applyFont="1" applyFill="1" applyBorder="1" applyAlignment="1" applyProtection="1">
      <alignment vertical="center" wrapText="1"/>
      <protection locked="0"/>
    </xf>
    <xf numFmtId="3" fontId="0" fillId="0" borderId="0" xfId="0" applyNumberFormat="1"/>
    <xf numFmtId="180" fontId="1" fillId="3" borderId="1" xfId="2" applyNumberFormat="1" applyFont="1" applyFill="1" applyBorder="1" applyAlignment="1" applyProtection="1">
      <alignment vertical="center" wrapText="1"/>
      <protection locked="0"/>
    </xf>
    <xf numFmtId="180" fontId="1" fillId="4" borderId="1" xfId="2" applyNumberFormat="1" applyFont="1" applyFill="1" applyBorder="1" applyAlignment="1" applyProtection="1">
      <alignment vertical="center" wrapText="1"/>
      <protection locked="0"/>
    </xf>
    <xf numFmtId="0" fontId="0" fillId="0" borderId="0" xfId="0" applyAlignment="1">
      <alignment horizontal="right"/>
    </xf>
    <xf numFmtId="181" fontId="1" fillId="4" borderId="1" xfId="2" applyNumberFormat="1" applyFont="1" applyFill="1" applyBorder="1" applyAlignment="1" applyProtection="1">
      <alignment vertical="center" wrapText="1"/>
      <protection locked="0"/>
    </xf>
    <xf numFmtId="0" fontId="1" fillId="3" borderId="1" xfId="0" applyFont="1" applyFill="1" applyBorder="1" applyAlignment="1" applyProtection="1">
      <alignment vertical="center" wrapText="1"/>
      <protection locked="0"/>
    </xf>
    <xf numFmtId="180" fontId="1" fillId="3" borderId="1" xfId="0" applyNumberFormat="1" applyFont="1" applyFill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7"/>
  <sheetViews>
    <sheetView tabSelected="1" topLeftCell="U1" workbookViewId="0">
      <selection activeCell="X30" sqref="X30"/>
    </sheetView>
  </sheetViews>
  <sheetFormatPr defaultColWidth="9" defaultRowHeight="15" customHeight="1" outlineLevelRow="6"/>
  <cols>
    <col min="1" max="1" width="8" customWidth="1"/>
    <col min="2" max="2" width="15.7109375" customWidth="1"/>
    <col min="3" max="3" width="9.7109375" customWidth="1"/>
    <col min="4" max="6" width="17.2890625" customWidth="1"/>
    <col min="7" max="7" width="20.2890625" customWidth="1"/>
    <col min="8" max="8" width="10.4296875" customWidth="1"/>
    <col min="9" max="9" width="11" customWidth="1"/>
    <col min="10" max="10" width="12.4296875" customWidth="1"/>
    <col min="11" max="11" width="14.7109375" customWidth="1"/>
    <col min="12" max="12" width="29.7109375" customWidth="1"/>
    <col min="13" max="13" width="6.4296875" customWidth="1"/>
    <col min="14" max="14" width="5.859375" customWidth="1"/>
    <col min="15" max="15" width="15.2890625" customWidth="1"/>
    <col min="16" max="16" width="12" customWidth="1"/>
    <col min="17" max="17" width="14.2890625" customWidth="1"/>
    <col min="18" max="18" width="14.4296875" customWidth="1"/>
    <col min="19" max="19" width="13.5703125" customWidth="1"/>
    <col min="20" max="20" width="11.7109375" customWidth="1"/>
    <col min="21" max="21" width="12" customWidth="1"/>
    <col min="22" max="22" width="24.140625" customWidth="1"/>
    <col min="23" max="23" width="22" customWidth="1"/>
    <col min="24" max="24" width="8.4296875" customWidth="1"/>
    <col min="25" max="25" width="15.2890625" customWidth="1"/>
    <col min="26" max="26" width="22.2890625" customWidth="1"/>
    <col min="27" max="27" width="11.140625" customWidth="1"/>
    <col min="28" max="28" width="12" customWidth="1"/>
    <col min="29" max="29" width="12.7109375" customWidth="1"/>
    <col min="30" max="30" width="8.7109375" customWidth="1"/>
    <col min="31" max="31" width="8.859375" customWidth="1"/>
    <col min="32" max="32" width="13.7109375" customWidth="1"/>
    <col min="33" max="33" width="12.2890625" customWidth="1"/>
    <col min="34" max="34" width="11.5703125" customWidth="1"/>
    <col min="35" max="35" width="23.5703125" customWidth="1"/>
    <col min="36" max="36" width="24.2890625" customWidth="1"/>
    <col min="37" max="37" width="16.7109375" customWidth="1"/>
    <col min="38" max="38" width="19.140625" customWidth="1"/>
    <col min="39" max="39" width="15.2890625" customWidth="1"/>
    <col min="40" max="40" width="14.7109375" customWidth="1"/>
    <col min="41" max="41" width="21.859375" customWidth="1"/>
    <col min="42" max="42" width="14.7109375" customWidth="1"/>
    <col min="44" max="44" width="14" customWidth="1"/>
    <col min="51" max="51" width="8.7109375" customWidth="1"/>
    <col min="52" max="52" width="8.2890625" customWidth="1"/>
    <col min="53" max="53" width="7.2890625" customWidth="1"/>
  </cols>
  <sheetData>
    <row r="1" ht="96.6" customHeight="1" spans="1:5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5" t="s">
        <v>7</v>
      </c>
      <c r="I1" s="3" t="s">
        <v>8</v>
      </c>
      <c r="J1" s="6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9" t="s">
        <v>14</v>
      </c>
      <c r="P1" s="9" t="s">
        <v>15</v>
      </c>
      <c r="Q1" s="1" t="s">
        <v>16</v>
      </c>
      <c r="R1" s="6" t="s">
        <v>17</v>
      </c>
      <c r="S1" s="1" t="s">
        <v>18</v>
      </c>
      <c r="T1" s="6" t="s">
        <v>19</v>
      </c>
      <c r="U1" s="6" t="s">
        <v>20</v>
      </c>
      <c r="V1" s="10" t="s">
        <v>21</v>
      </c>
      <c r="W1" s="3" t="s">
        <v>22</v>
      </c>
      <c r="X1" s="3" t="s">
        <v>23</v>
      </c>
      <c r="Y1" s="6" t="s">
        <v>24</v>
      </c>
      <c r="Z1" s="3" t="s">
        <v>25</v>
      </c>
      <c r="AA1" s="6" t="s">
        <v>26</v>
      </c>
      <c r="AB1" s="6" t="s">
        <v>27</v>
      </c>
      <c r="AC1" s="12" t="s">
        <v>28</v>
      </c>
      <c r="AD1" s="13" t="s">
        <v>29</v>
      </c>
      <c r="AE1" s="12" t="s">
        <v>30</v>
      </c>
      <c r="AF1" s="12" t="s">
        <v>31</v>
      </c>
      <c r="AG1" s="12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5" t="s">
        <v>40</v>
      </c>
      <c r="AP1" s="13" t="s">
        <v>41</v>
      </c>
      <c r="AQ1" s="16" t="s">
        <v>42</v>
      </c>
      <c r="AR1" s="16" t="s">
        <v>43</v>
      </c>
      <c r="AS1" s="16" t="s">
        <v>44</v>
      </c>
      <c r="AT1" s="12" t="s">
        <v>45</v>
      </c>
      <c r="AU1" s="12" t="s">
        <v>46</v>
      </c>
      <c r="AV1" s="16" t="s">
        <v>43</v>
      </c>
      <c r="AW1" s="16" t="s">
        <v>44</v>
      </c>
      <c r="AX1" s="17" t="s">
        <v>45</v>
      </c>
      <c r="AY1" s="17" t="s">
        <v>47</v>
      </c>
      <c r="AZ1" s="18" t="s">
        <v>48</v>
      </c>
      <c r="BA1" s="18" t="s">
        <v>49</v>
      </c>
    </row>
    <row r="2" ht="16.8" spans="1:50">
      <c r="A2">
        <v>1</v>
      </c>
      <c r="B2" s="4">
        <v>45643</v>
      </c>
      <c r="C2">
        <v>10042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s="7">
        <v>38305</v>
      </c>
      <c r="J2" s="7">
        <v>38336</v>
      </c>
      <c r="K2" t="s">
        <v>55</v>
      </c>
      <c r="L2" s="8" t="s">
        <v>56</v>
      </c>
      <c r="M2" t="s">
        <v>57</v>
      </c>
      <c r="N2" t="s">
        <v>58</v>
      </c>
      <c r="O2">
        <v>1000</v>
      </c>
      <c r="P2">
        <v>990</v>
      </c>
      <c r="Q2" t="s">
        <v>59</v>
      </c>
      <c r="R2" s="4">
        <v>45652</v>
      </c>
      <c r="S2" t="s">
        <v>60</v>
      </c>
      <c r="T2" s="4">
        <v>45652</v>
      </c>
      <c r="U2" s="4">
        <v>45652</v>
      </c>
      <c r="X2" t="s">
        <v>61</v>
      </c>
      <c r="Y2" s="4">
        <v>45644</v>
      </c>
      <c r="Z2" t="s">
        <v>62</v>
      </c>
      <c r="AA2" s="4">
        <v>45653</v>
      </c>
      <c r="AB2" s="11">
        <f>AC2-10000</f>
        <v>70000</v>
      </c>
      <c r="AC2" s="11">
        <v>80000</v>
      </c>
      <c r="AD2">
        <f t="shared" ref="AD2:AD3" si="0">AC2*0.1</f>
        <v>8000</v>
      </c>
      <c r="AE2">
        <v>2000</v>
      </c>
      <c r="AF2" s="11">
        <f>AC6+AD6+AE2</f>
        <v>2000</v>
      </c>
      <c r="AG2">
        <v>2000</v>
      </c>
      <c r="AH2">
        <v>100000</v>
      </c>
      <c r="AI2">
        <v>1000</v>
      </c>
      <c r="AJ2">
        <v>500</v>
      </c>
      <c r="AK2">
        <f>AI2+AJ2</f>
        <v>1500</v>
      </c>
      <c r="AL2">
        <v>0</v>
      </c>
      <c r="AM2">
        <v>0</v>
      </c>
      <c r="AN2">
        <f>AH2-AI2-AL2</f>
        <v>99000</v>
      </c>
      <c r="AO2">
        <f>AD6+AG2-AJ2-AM6</f>
        <v>1500</v>
      </c>
      <c r="AP2" t="s">
        <v>53</v>
      </c>
      <c r="AQ2">
        <v>109909</v>
      </c>
      <c r="AR2" s="4">
        <v>45643</v>
      </c>
      <c r="AS2" t="s">
        <v>63</v>
      </c>
      <c r="AT2">
        <f>AN2</f>
        <v>99000</v>
      </c>
      <c r="AV2" s="4">
        <v>45643</v>
      </c>
      <c r="AW2" t="s">
        <v>63</v>
      </c>
      <c r="AX2">
        <f>AR2</f>
        <v>45643</v>
      </c>
    </row>
    <row r="3" customHeight="1" spans="1:50">
      <c r="A3">
        <v>2</v>
      </c>
      <c r="B3" s="4">
        <v>45643</v>
      </c>
      <c r="C3">
        <v>10052</v>
      </c>
      <c r="D3" t="s">
        <v>50</v>
      </c>
      <c r="E3" t="s">
        <v>51</v>
      </c>
      <c r="F3" t="s">
        <v>52</v>
      </c>
      <c r="G3" t="s">
        <v>64</v>
      </c>
      <c r="H3" t="s">
        <v>65</v>
      </c>
      <c r="I3" s="7">
        <v>38305</v>
      </c>
      <c r="J3" s="7">
        <v>38336</v>
      </c>
      <c r="K3" t="s">
        <v>66</v>
      </c>
      <c r="L3" s="8" t="s">
        <v>67</v>
      </c>
      <c r="M3" t="s">
        <v>57</v>
      </c>
      <c r="N3" t="s">
        <v>58</v>
      </c>
      <c r="O3">
        <v>980</v>
      </c>
      <c r="P3">
        <v>985</v>
      </c>
      <c r="Q3" t="s">
        <v>68</v>
      </c>
      <c r="R3" s="4">
        <v>45652</v>
      </c>
      <c r="S3" t="s">
        <v>69</v>
      </c>
      <c r="T3" s="4">
        <v>45652</v>
      </c>
      <c r="U3" s="4">
        <v>45652</v>
      </c>
      <c r="X3" t="s">
        <v>70</v>
      </c>
      <c r="Y3" s="4">
        <v>45644</v>
      </c>
      <c r="Z3" t="s">
        <v>71</v>
      </c>
      <c r="AA3" s="4">
        <v>45653</v>
      </c>
      <c r="AB3" s="11">
        <f t="shared" ref="AB3" si="1">AC3-10000</f>
        <v>60000</v>
      </c>
      <c r="AC3" s="11">
        <v>70000</v>
      </c>
      <c r="AD3">
        <f t="shared" si="0"/>
        <v>7000</v>
      </c>
      <c r="AE3">
        <v>1000</v>
      </c>
      <c r="AF3" s="11">
        <f>AC7+AD7+AE3</f>
        <v>1000</v>
      </c>
      <c r="AG3">
        <v>2000</v>
      </c>
      <c r="AH3">
        <v>100000</v>
      </c>
      <c r="AI3">
        <v>1000</v>
      </c>
      <c r="AJ3">
        <v>500</v>
      </c>
      <c r="AK3">
        <f>AI3+AJ3</f>
        <v>1500</v>
      </c>
      <c r="AL3">
        <v>0</v>
      </c>
      <c r="AM3">
        <v>0</v>
      </c>
      <c r="AN3">
        <f t="shared" ref="AN3:AN7" si="2">AH3-AI3-AL3</f>
        <v>99000</v>
      </c>
      <c r="AO3">
        <f>AD7+AG3-AJ3-AM7</f>
        <v>1500</v>
      </c>
      <c r="AP3" t="s">
        <v>64</v>
      </c>
      <c r="AQ3">
        <f>AQ2+1</f>
        <v>109910</v>
      </c>
      <c r="AR3" s="4">
        <v>45643</v>
      </c>
      <c r="AS3" t="s">
        <v>63</v>
      </c>
      <c r="AT3">
        <f t="shared" ref="AT3:AT4" si="3">AN3</f>
        <v>99000</v>
      </c>
      <c r="AV3" s="4">
        <v>45643</v>
      </c>
      <c r="AW3" t="s">
        <v>63</v>
      </c>
      <c r="AX3">
        <f t="shared" ref="AX3:AX4" si="4">AR3</f>
        <v>45643</v>
      </c>
    </row>
    <row r="4" customHeight="1" spans="1:50">
      <c r="A4">
        <v>3</v>
      </c>
      <c r="B4" s="4">
        <v>45643</v>
      </c>
      <c r="C4">
        <v>10062</v>
      </c>
      <c r="D4" t="s">
        <v>50</v>
      </c>
      <c r="E4" t="s">
        <v>72</v>
      </c>
      <c r="F4" t="s">
        <v>52</v>
      </c>
      <c r="G4" t="s">
        <v>73</v>
      </c>
      <c r="H4" t="s">
        <v>74</v>
      </c>
      <c r="I4" s="7">
        <v>38305</v>
      </c>
      <c r="J4" s="7">
        <v>38336</v>
      </c>
      <c r="K4" t="s">
        <v>75</v>
      </c>
      <c r="L4" s="8" t="s">
        <v>76</v>
      </c>
      <c r="M4" t="s">
        <v>57</v>
      </c>
      <c r="N4" t="s">
        <v>58</v>
      </c>
      <c r="O4">
        <v>800</v>
      </c>
      <c r="P4">
        <v>820</v>
      </c>
      <c r="Q4" t="s">
        <v>77</v>
      </c>
      <c r="R4" s="4">
        <v>45652</v>
      </c>
      <c r="S4" t="s">
        <v>78</v>
      </c>
      <c r="T4" s="4">
        <v>45652</v>
      </c>
      <c r="U4" s="4">
        <v>45652</v>
      </c>
      <c r="X4" t="s">
        <v>79</v>
      </c>
      <c r="Y4" s="4">
        <v>45644</v>
      </c>
      <c r="Z4" t="s">
        <v>80</v>
      </c>
      <c r="AA4" s="4">
        <v>45653</v>
      </c>
      <c r="AB4" s="11">
        <v>90000</v>
      </c>
      <c r="AC4" s="14" t="s">
        <v>81</v>
      </c>
      <c r="AH4">
        <v>100000</v>
      </c>
      <c r="AI4">
        <v>0</v>
      </c>
      <c r="AK4">
        <f t="shared" ref="AK4" si="5">AI4+AJ4</f>
        <v>0</v>
      </c>
      <c r="AL4">
        <v>0</v>
      </c>
      <c r="AM4">
        <v>0</v>
      </c>
      <c r="AN4">
        <f t="shared" si="2"/>
        <v>100000</v>
      </c>
      <c r="AP4" t="s">
        <v>73</v>
      </c>
      <c r="AQ4">
        <f>AQ3+1</f>
        <v>109911</v>
      </c>
      <c r="AR4" s="4">
        <v>45643</v>
      </c>
      <c r="AS4" t="s">
        <v>63</v>
      </c>
      <c r="AT4">
        <f t="shared" si="3"/>
        <v>100000</v>
      </c>
      <c r="AV4" s="4">
        <v>45643</v>
      </c>
      <c r="AW4" t="s">
        <v>63</v>
      </c>
      <c r="AX4">
        <f t="shared" si="4"/>
        <v>45643</v>
      </c>
    </row>
    <row r="5" customHeight="1" spans="1:40">
      <c r="A5">
        <v>4</v>
      </c>
      <c r="B5" s="4">
        <v>45643</v>
      </c>
      <c r="C5">
        <v>10072</v>
      </c>
      <c r="D5" t="s">
        <v>82</v>
      </c>
      <c r="E5" t="s">
        <v>72</v>
      </c>
      <c r="F5" t="s">
        <v>83</v>
      </c>
      <c r="I5" s="7">
        <v>45276</v>
      </c>
      <c r="K5" t="s">
        <v>84</v>
      </c>
      <c r="L5" s="8" t="s">
        <v>85</v>
      </c>
      <c r="M5" t="s">
        <v>86</v>
      </c>
      <c r="N5" t="s">
        <v>58</v>
      </c>
      <c r="O5">
        <v>980</v>
      </c>
      <c r="P5">
        <v>980</v>
      </c>
      <c r="Q5" t="s">
        <v>87</v>
      </c>
      <c r="R5" s="4">
        <v>45652</v>
      </c>
      <c r="S5" t="s">
        <v>88</v>
      </c>
      <c r="T5" s="4">
        <v>45652</v>
      </c>
      <c r="U5" s="4">
        <v>45652</v>
      </c>
      <c r="X5" t="s">
        <v>89</v>
      </c>
      <c r="Y5" s="4">
        <v>45644</v>
      </c>
      <c r="Z5" t="s">
        <v>90</v>
      </c>
      <c r="AA5" s="4">
        <v>45653</v>
      </c>
      <c r="AB5" s="11"/>
      <c r="AC5" s="11"/>
      <c r="AI5">
        <v>0</v>
      </c>
      <c r="AL5">
        <v>0</v>
      </c>
      <c r="AM5">
        <v>0</v>
      </c>
      <c r="AN5">
        <f t="shared" si="2"/>
        <v>0</v>
      </c>
    </row>
    <row r="6" customHeight="1" spans="1:40">
      <c r="A6">
        <v>5</v>
      </c>
      <c r="B6" s="4">
        <v>45643</v>
      </c>
      <c r="C6">
        <v>10082</v>
      </c>
      <c r="D6" t="s">
        <v>82</v>
      </c>
      <c r="E6" t="s">
        <v>91</v>
      </c>
      <c r="F6" t="s">
        <v>83</v>
      </c>
      <c r="I6" s="7">
        <v>45276</v>
      </c>
      <c r="K6" t="s">
        <v>92</v>
      </c>
      <c r="L6" s="8" t="s">
        <v>93</v>
      </c>
      <c r="M6" t="s">
        <v>86</v>
      </c>
      <c r="N6" t="s">
        <v>58</v>
      </c>
      <c r="O6">
        <v>1200</v>
      </c>
      <c r="P6">
        <v>1189</v>
      </c>
      <c r="Q6" t="s">
        <v>94</v>
      </c>
      <c r="R6" s="4">
        <v>45652</v>
      </c>
      <c r="S6" t="s">
        <v>95</v>
      </c>
      <c r="T6" s="4">
        <v>45652</v>
      </c>
      <c r="U6" s="4">
        <v>45652</v>
      </c>
      <c r="X6" t="s">
        <v>96</v>
      </c>
      <c r="Y6" s="4">
        <v>45644</v>
      </c>
      <c r="Z6" t="s">
        <v>97</v>
      </c>
      <c r="AA6" s="4">
        <v>45653</v>
      </c>
      <c r="AB6" s="11"/>
      <c r="AC6" s="11"/>
      <c r="AI6">
        <v>0</v>
      </c>
      <c r="AL6">
        <v>0</v>
      </c>
      <c r="AM6">
        <v>0</v>
      </c>
      <c r="AN6">
        <f t="shared" si="2"/>
        <v>0</v>
      </c>
    </row>
    <row r="7" customHeight="1" spans="1:40">
      <c r="A7">
        <v>6</v>
      </c>
      <c r="B7" s="4">
        <v>45643</v>
      </c>
      <c r="C7">
        <v>10092</v>
      </c>
      <c r="D7" t="s">
        <v>82</v>
      </c>
      <c r="E7" t="s">
        <v>91</v>
      </c>
      <c r="F7" t="s">
        <v>83</v>
      </c>
      <c r="I7" s="7">
        <v>45276</v>
      </c>
      <c r="K7" t="s">
        <v>98</v>
      </c>
      <c r="L7" s="8" t="s">
        <v>99</v>
      </c>
      <c r="M7" t="s">
        <v>86</v>
      </c>
      <c r="N7" t="s">
        <v>58</v>
      </c>
      <c r="O7">
        <v>1000</v>
      </c>
      <c r="P7">
        <v>990</v>
      </c>
      <c r="Q7" t="s">
        <v>100</v>
      </c>
      <c r="R7" s="4">
        <v>45652</v>
      </c>
      <c r="S7" t="s">
        <v>101</v>
      </c>
      <c r="T7" s="4">
        <v>45652</v>
      </c>
      <c r="U7" s="4">
        <v>45652</v>
      </c>
      <c r="X7" t="s">
        <v>102</v>
      </c>
      <c r="Y7" s="4">
        <v>45644</v>
      </c>
      <c r="Z7" t="s">
        <v>103</v>
      </c>
      <c r="AA7" s="4">
        <v>45653</v>
      </c>
      <c r="AB7" s="11"/>
      <c r="AC7" s="11"/>
      <c r="AI7">
        <v>0</v>
      </c>
      <c r="AL7">
        <v>0</v>
      </c>
      <c r="AM7">
        <v>0</v>
      </c>
      <c r="AN7">
        <f t="shared" si="2"/>
        <v>0</v>
      </c>
    </row>
  </sheetData>
  <conditionalFormatting sqref="C1:F1">
    <cfRule type="duplicateValues" dxfId="0" priority="3"/>
    <cfRule type="duplicateValues" dxfId="0" priority="4"/>
    <cfRule type="duplicateValues" dxfId="0" priority="10"/>
  </conditionalFormatting>
  <conditionalFormatting sqref="H1">
    <cfRule type="duplicateValues" dxfId="0" priority="1"/>
    <cfRule type="duplicateValues" dxfId="0" priority="5"/>
    <cfRule type="duplicateValues" dxfId="0" priority="6"/>
    <cfRule type="duplicateValues" dxfId="0" priority="11"/>
  </conditionalFormatting>
  <conditionalFormatting sqref="Q1">
    <cfRule type="duplicateValues" dxfId="0" priority="7"/>
  </conditionalFormatting>
  <conditionalFormatting sqref="S1">
    <cfRule type="duplicateValues" dxfId="0" priority="8"/>
  </conditionalFormatting>
  <conditionalFormatting sqref="X1">
    <cfRule type="duplicateValues" dxfId="0" priority="2"/>
  </conditionalFormatting>
  <conditionalFormatting sqref="Z1">
    <cfRule type="duplicateValues" dxfId="0" priority="9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 Master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Bansal</dc:creator>
  <cp:lastModifiedBy>tagline</cp:lastModifiedBy>
  <dcterms:created xsi:type="dcterms:W3CDTF">2015-06-05T23:47:00Z</dcterms:created>
  <dcterms:modified xsi:type="dcterms:W3CDTF">2024-12-19T12:54:48Z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8A8B3EB02E786FE340CA636716D68264_42</vt:lpwstr>
  </property>
  <property fmtid="{D5CDD505-2E9C-101B-9397-08002B2CF9AE}" pid="3" name="KSOProductBuildVer">
    <vt:lpwstr>1033-6.10.0.8196</vt:lpwstr>
  </property>
</Properties>
</file>